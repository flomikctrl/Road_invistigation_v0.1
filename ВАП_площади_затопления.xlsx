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ndows 10\Desktop\Затопление поймы\"/>
    </mc:Choice>
  </mc:AlternateContent>
  <xr:revisionPtr revIDLastSave="0" documentId="8_{1B9B6067-4627-4785-9629-D69180DF159F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данные по расходам" sheetId="1" r:id="rId1"/>
    <sheet name="площади затопления" sheetId="2" r:id="rId2"/>
    <sheet name="Лист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2" l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</calcChain>
</file>

<file path=xl/sharedStrings.xml><?xml version="1.0" encoding="utf-8"?>
<sst xmlns="http://schemas.openxmlformats.org/spreadsheetml/2006/main" count="34" uniqueCount="26">
  <si>
    <t>Год</t>
  </si>
  <si>
    <t>Дата</t>
  </si>
  <si>
    <t>Продолж.</t>
  </si>
  <si>
    <t>W, км³</t>
  </si>
  <si>
    <t>Длит.подъ</t>
  </si>
  <si>
    <t>Длит.пик.</t>
  </si>
  <si>
    <t>Длит.рыб.</t>
  </si>
  <si>
    <t>Длит.спа-</t>
  </si>
  <si>
    <t>м³/с</t>
  </si>
  <si>
    <t>нач.пол.</t>
  </si>
  <si>
    <t>оконч.пол.</t>
  </si>
  <si>
    <t>пол., сут.</t>
  </si>
  <si>
    <t>В целом</t>
  </si>
  <si>
    <t>Подъем</t>
  </si>
  <si>
    <t>Пик.полка</t>
  </si>
  <si>
    <t>Рыб.полка</t>
  </si>
  <si>
    <t>Спад весь</t>
  </si>
  <si>
    <t>Спад 1</t>
  </si>
  <si>
    <t>Спад 2</t>
  </si>
  <si>
    <t>ема, сут.</t>
  </si>
  <si>
    <t>полк., сут.</t>
  </si>
  <si>
    <t>полки, сут.</t>
  </si>
  <si>
    <t>да, сут.</t>
  </si>
  <si>
    <t>Расход max.</t>
  </si>
  <si>
    <t>Макс. площадь затопления, кв. км</t>
  </si>
  <si>
    <t>% затопления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</si>
</sst>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2" fontId="0" fillId="2" borderId="0" xfId="0" applyNumberFormat="1" applyFill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P54"/>
  <sheetViews>
    <sheetView topLeftCell="A4" workbookViewId="0">
      <selection activeCell="K5" sqref="K5"/>
    </sheetView>
  </sheetViews>
  <sheetFormatPr defaultRowHeight="14.4" x14ac:dyDescent="0.3"/>
  <cols>
    <col min="2" max="2" width="11.5546875" customWidth="1"/>
    <col min="4" max="4" width="10.6640625" customWidth="1"/>
    <col min="6" max="6" width="9.6640625" customWidth="1"/>
    <col min="8" max="8" width="11" customWidth="1"/>
    <col min="13" max="13" width="12.44140625" customWidth="1"/>
  </cols>
  <sheetData>
    <row r="2" spans="1:16" x14ac:dyDescent="0.3">
      <c r="A2" s="1" t="s">
        <v>0</v>
      </c>
      <c r="B2" s="1" t="s">
        <v>23</v>
      </c>
      <c r="C2" s="1" t="s">
        <v>1</v>
      </c>
      <c r="D2" s="1" t="s">
        <v>1</v>
      </c>
      <c r="E2" s="1" t="s">
        <v>2</v>
      </c>
      <c r="F2" s="1" t="s">
        <v>3</v>
      </c>
      <c r="G2" s="1" t="s">
        <v>3</v>
      </c>
      <c r="H2" s="1" t="s">
        <v>3</v>
      </c>
      <c r="I2" s="1" t="s">
        <v>3</v>
      </c>
      <c r="J2" s="1" t="s">
        <v>3</v>
      </c>
      <c r="K2" s="1" t="s">
        <v>3</v>
      </c>
      <c r="L2" s="1" t="s">
        <v>3</v>
      </c>
      <c r="M2" s="1" t="s">
        <v>4</v>
      </c>
      <c r="N2" s="1" t="s">
        <v>5</v>
      </c>
      <c r="O2" s="1" t="s">
        <v>6</v>
      </c>
      <c r="P2" s="1" t="s">
        <v>7</v>
      </c>
    </row>
    <row r="3" spans="1:16" x14ac:dyDescent="0.3">
      <c r="A3" s="1"/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  <c r="I3" s="1" t="s">
        <v>15</v>
      </c>
      <c r="J3" s="1" t="s">
        <v>16</v>
      </c>
      <c r="K3" s="1" t="s">
        <v>17</v>
      </c>
      <c r="L3" s="1" t="s">
        <v>18</v>
      </c>
      <c r="M3" s="1" t="s">
        <v>19</v>
      </c>
      <c r="N3" s="1" t="s">
        <v>20</v>
      </c>
      <c r="O3" s="1" t="s">
        <v>21</v>
      </c>
      <c r="P3" s="1" t="s">
        <v>22</v>
      </c>
    </row>
    <row r="4" spans="1:16" x14ac:dyDescent="0.3">
      <c r="A4" s="1">
        <v>1974</v>
      </c>
      <c r="B4" s="1">
        <v>24960</v>
      </c>
      <c r="C4" s="1">
        <v>27139</v>
      </c>
      <c r="D4" s="1">
        <v>27217</v>
      </c>
      <c r="E4" s="1">
        <v>79</v>
      </c>
      <c r="F4" s="2">
        <v>121.19500799999999</v>
      </c>
      <c r="G4" s="2">
        <v>16.568928</v>
      </c>
      <c r="H4" s="2">
        <v>8.6158079999999995</v>
      </c>
      <c r="I4" s="2">
        <v>67.266719999999992</v>
      </c>
      <c r="J4" s="2">
        <v>28.743551999999994</v>
      </c>
      <c r="K4" s="2">
        <v>28.743551999999994</v>
      </c>
      <c r="L4" s="2">
        <v>0</v>
      </c>
      <c r="M4" s="1">
        <v>16</v>
      </c>
      <c r="N4" s="1">
        <v>4</v>
      </c>
      <c r="O4" s="1">
        <v>35</v>
      </c>
      <c r="P4" s="1">
        <v>24</v>
      </c>
    </row>
    <row r="5" spans="1:16" x14ac:dyDescent="0.3">
      <c r="A5" s="1">
        <v>1975</v>
      </c>
      <c r="B5" s="1">
        <v>24200</v>
      </c>
      <c r="C5" s="1">
        <v>27514</v>
      </c>
      <c r="D5" s="1">
        <v>27532</v>
      </c>
      <c r="E5" s="1">
        <v>19</v>
      </c>
      <c r="F5" s="2">
        <v>26.310527999999994</v>
      </c>
      <c r="G5" s="2">
        <v>4.8159360000000007</v>
      </c>
      <c r="H5" s="2">
        <v>12.445055999999997</v>
      </c>
      <c r="I5" s="2">
        <v>0</v>
      </c>
      <c r="J5" s="2">
        <v>9.0495359999999998</v>
      </c>
      <c r="K5" s="2">
        <v>9.0495359999999998</v>
      </c>
      <c r="L5" s="2">
        <v>0</v>
      </c>
      <c r="M5" s="1">
        <v>4</v>
      </c>
      <c r="N5" s="1">
        <v>6</v>
      </c>
      <c r="O5" s="1">
        <v>0</v>
      </c>
      <c r="P5" s="1">
        <v>9</v>
      </c>
    </row>
    <row r="6" spans="1:16" x14ac:dyDescent="0.3">
      <c r="A6" s="1">
        <v>1976</v>
      </c>
      <c r="B6" s="1">
        <v>25200</v>
      </c>
      <c r="C6" s="1">
        <v>27900</v>
      </c>
      <c r="D6" s="1">
        <v>27923</v>
      </c>
      <c r="E6" s="1">
        <v>24</v>
      </c>
      <c r="F6" s="2">
        <v>33.987168000000011</v>
      </c>
      <c r="G6" s="2">
        <v>5.1338879999999998</v>
      </c>
      <c r="H6" s="2">
        <v>8.659008</v>
      </c>
      <c r="I6" s="2">
        <v>8.2926719999999996</v>
      </c>
      <c r="J6" s="2">
        <v>11.901599999999998</v>
      </c>
      <c r="K6" s="2">
        <v>7.0182719999999996</v>
      </c>
      <c r="L6" s="2">
        <v>4.8833279999999997</v>
      </c>
      <c r="M6" s="1">
        <v>4</v>
      </c>
      <c r="N6" s="1">
        <v>4</v>
      </c>
      <c r="O6" s="1">
        <v>6</v>
      </c>
      <c r="P6" s="1">
        <v>10</v>
      </c>
    </row>
    <row r="7" spans="1:16" x14ac:dyDescent="0.3">
      <c r="A7" s="1">
        <v>1977</v>
      </c>
      <c r="B7" s="1">
        <v>25030</v>
      </c>
      <c r="C7" s="1">
        <v>28240</v>
      </c>
      <c r="D7" s="1">
        <v>28274</v>
      </c>
      <c r="E7" s="1">
        <v>35</v>
      </c>
      <c r="F7" s="2">
        <v>46.414080000000006</v>
      </c>
      <c r="G7" s="2">
        <v>11.495520000000001</v>
      </c>
      <c r="H7" s="2">
        <v>15.116544000000001</v>
      </c>
      <c r="I7" s="2">
        <v>0</v>
      </c>
      <c r="J7" s="2">
        <v>19.802016000000002</v>
      </c>
      <c r="K7" s="2">
        <v>19.802016000000002</v>
      </c>
      <c r="L7" s="2">
        <v>0</v>
      </c>
      <c r="M7" s="1">
        <v>10</v>
      </c>
      <c r="N7" s="1">
        <v>7</v>
      </c>
      <c r="O7" s="1">
        <v>0</v>
      </c>
      <c r="P7" s="1">
        <v>18</v>
      </c>
    </row>
    <row r="8" spans="1:16" x14ac:dyDescent="0.3">
      <c r="A8" s="1">
        <v>1978</v>
      </c>
      <c r="B8" s="1">
        <v>25020</v>
      </c>
      <c r="C8" s="1">
        <v>28612</v>
      </c>
      <c r="D8" s="1">
        <v>28650</v>
      </c>
      <c r="E8" s="1">
        <v>45</v>
      </c>
      <c r="F8" s="2">
        <v>64.418975999999986</v>
      </c>
      <c r="G8" s="2">
        <v>8.7013440000000006</v>
      </c>
      <c r="H8" s="2">
        <v>10.804320000000001</v>
      </c>
      <c r="I8" s="2">
        <v>18.138815999999995</v>
      </c>
      <c r="J8" s="2">
        <v>26.774495999999992</v>
      </c>
      <c r="K8" s="2">
        <v>3.8076479999999999</v>
      </c>
      <c r="L8" s="2">
        <v>22.966847999999995</v>
      </c>
      <c r="M8" s="1">
        <v>9</v>
      </c>
      <c r="N8" s="1">
        <v>5</v>
      </c>
      <c r="O8" s="1">
        <v>10</v>
      </c>
      <c r="P8" s="1">
        <v>21</v>
      </c>
    </row>
    <row r="9" spans="1:16" x14ac:dyDescent="0.3">
      <c r="A9" s="1">
        <v>1979</v>
      </c>
      <c r="B9" s="1">
        <v>34060</v>
      </c>
      <c r="C9" s="1">
        <v>28968</v>
      </c>
      <c r="D9" s="1">
        <v>29032</v>
      </c>
      <c r="E9" s="1">
        <v>65</v>
      </c>
      <c r="F9" s="2">
        <v>127.45987200000002</v>
      </c>
      <c r="G9" s="2">
        <v>24.802847999999997</v>
      </c>
      <c r="H9" s="2">
        <v>65.727072000000021</v>
      </c>
      <c r="I9" s="2">
        <v>0</v>
      </c>
      <c r="J9" s="2">
        <v>36.929952</v>
      </c>
      <c r="K9" s="2">
        <v>36.929952</v>
      </c>
      <c r="L9" s="2">
        <v>0</v>
      </c>
      <c r="M9" s="1">
        <v>19</v>
      </c>
      <c r="N9" s="1">
        <v>23</v>
      </c>
      <c r="O9" s="1">
        <v>0</v>
      </c>
      <c r="P9" s="1">
        <v>23</v>
      </c>
    </row>
    <row r="10" spans="1:16" x14ac:dyDescent="0.3">
      <c r="A10" s="1">
        <v>1980</v>
      </c>
      <c r="B10" s="1">
        <v>26040</v>
      </c>
      <c r="C10" s="1">
        <v>29347</v>
      </c>
      <c r="D10" s="1">
        <v>29388</v>
      </c>
      <c r="E10" s="1">
        <v>42</v>
      </c>
      <c r="F10" s="2">
        <v>58.599072000000028</v>
      </c>
      <c r="G10" s="2">
        <v>8.1285120000000006</v>
      </c>
      <c r="H10" s="2">
        <v>13.487039999999999</v>
      </c>
      <c r="I10" s="2">
        <v>21.852288000000001</v>
      </c>
      <c r="J10" s="2">
        <v>15.131232000000001</v>
      </c>
      <c r="K10" s="2">
        <v>8.6460480000000004</v>
      </c>
      <c r="L10" s="2">
        <v>6.4851840000000003</v>
      </c>
      <c r="M10" s="1">
        <v>6</v>
      </c>
      <c r="N10" s="1">
        <v>6</v>
      </c>
      <c r="O10" s="1">
        <v>18</v>
      </c>
      <c r="P10" s="1">
        <v>12</v>
      </c>
    </row>
    <row r="11" spans="1:16" x14ac:dyDescent="0.3">
      <c r="A11" s="1">
        <v>1981</v>
      </c>
      <c r="B11" s="1">
        <v>26060</v>
      </c>
      <c r="C11" s="1">
        <v>29696</v>
      </c>
      <c r="D11" s="1">
        <v>29771</v>
      </c>
      <c r="E11" s="1">
        <v>76</v>
      </c>
      <c r="F11" s="2">
        <v>116.879328</v>
      </c>
      <c r="G11" s="2">
        <v>12.151295999999999</v>
      </c>
      <c r="H11" s="2">
        <v>20.206368000000001</v>
      </c>
      <c r="I11" s="2">
        <v>29.703455999999999</v>
      </c>
      <c r="J11" s="2">
        <v>54.818207999999998</v>
      </c>
      <c r="K11" s="2">
        <v>8.1838079999999991</v>
      </c>
      <c r="L11" s="2">
        <v>46.634399999999985</v>
      </c>
      <c r="M11" s="1">
        <v>11</v>
      </c>
      <c r="N11" s="1">
        <v>9</v>
      </c>
      <c r="O11" s="1">
        <v>14</v>
      </c>
      <c r="P11" s="1">
        <v>42</v>
      </c>
    </row>
    <row r="12" spans="1:16" x14ac:dyDescent="0.3">
      <c r="A12" s="1">
        <v>1982</v>
      </c>
      <c r="B12" s="1">
        <v>26030</v>
      </c>
      <c r="C12" s="1">
        <v>30073</v>
      </c>
      <c r="D12" s="1">
        <v>30104</v>
      </c>
      <c r="E12" s="1">
        <v>32</v>
      </c>
      <c r="F12" s="2">
        <v>47.765375999999996</v>
      </c>
      <c r="G12" s="2">
        <v>10.221984000000001</v>
      </c>
      <c r="H12" s="2">
        <v>17.916767999999998</v>
      </c>
      <c r="I12" s="2">
        <v>0</v>
      </c>
      <c r="J12" s="2">
        <v>19.626624000000003</v>
      </c>
      <c r="K12" s="2">
        <v>19.626624000000003</v>
      </c>
      <c r="L12" s="2">
        <v>0</v>
      </c>
      <c r="M12" s="1">
        <v>9</v>
      </c>
      <c r="N12" s="1">
        <v>8</v>
      </c>
      <c r="O12" s="1">
        <v>0</v>
      </c>
      <c r="P12" s="1">
        <v>15</v>
      </c>
    </row>
    <row r="13" spans="1:16" x14ac:dyDescent="0.3">
      <c r="A13" s="1">
        <v>1983</v>
      </c>
      <c r="B13" s="1">
        <v>26040</v>
      </c>
      <c r="C13" s="1">
        <v>30423</v>
      </c>
      <c r="D13" s="1">
        <v>30467</v>
      </c>
      <c r="E13" s="1">
        <v>45</v>
      </c>
      <c r="F13" s="2">
        <v>64.016351999999983</v>
      </c>
      <c r="G13" s="2">
        <v>8.1207359999999991</v>
      </c>
      <c r="H13" s="2">
        <v>17.970336</v>
      </c>
      <c r="I13" s="2">
        <v>18.207071999999997</v>
      </c>
      <c r="J13" s="2">
        <v>19.718208000000001</v>
      </c>
      <c r="K13" s="2">
        <v>9.9740160000000007</v>
      </c>
      <c r="L13" s="2">
        <v>9.7441919999999982</v>
      </c>
      <c r="M13" s="1">
        <v>6</v>
      </c>
      <c r="N13" s="1">
        <v>8</v>
      </c>
      <c r="O13" s="1">
        <v>14</v>
      </c>
      <c r="P13" s="1">
        <v>17</v>
      </c>
    </row>
    <row r="14" spans="1:16" x14ac:dyDescent="0.3">
      <c r="A14" s="1">
        <v>1984</v>
      </c>
      <c r="B14" s="1">
        <v>27000</v>
      </c>
      <c r="C14" s="1">
        <v>30806</v>
      </c>
      <c r="D14" s="1">
        <v>30836</v>
      </c>
      <c r="E14" s="1">
        <v>31</v>
      </c>
      <c r="F14" s="2">
        <v>43.358112000000013</v>
      </c>
      <c r="G14" s="2">
        <v>11.039327999999999</v>
      </c>
      <c r="H14" s="2">
        <v>4.6586879999999997</v>
      </c>
      <c r="I14" s="2">
        <v>12.096864</v>
      </c>
      <c r="J14" s="2">
        <v>15.563232000000001</v>
      </c>
      <c r="K14" s="2">
        <v>12.53232</v>
      </c>
      <c r="L14" s="2">
        <v>3.0309120000000003</v>
      </c>
      <c r="M14" s="1">
        <v>8</v>
      </c>
      <c r="N14" s="1">
        <v>2</v>
      </c>
      <c r="O14" s="1">
        <v>10</v>
      </c>
      <c r="P14" s="1">
        <v>11</v>
      </c>
    </row>
    <row r="15" spans="1:16" x14ac:dyDescent="0.3">
      <c r="A15" s="1">
        <v>1985</v>
      </c>
      <c r="B15" s="1">
        <v>28110</v>
      </c>
      <c r="C15" s="1">
        <v>31166</v>
      </c>
      <c r="D15" s="1">
        <v>31238</v>
      </c>
      <c r="E15" s="1">
        <v>73</v>
      </c>
      <c r="F15" s="2">
        <v>110.72764799999995</v>
      </c>
      <c r="G15" s="2">
        <v>12.689568</v>
      </c>
      <c r="H15" s="2">
        <v>16.936128</v>
      </c>
      <c r="I15" s="2">
        <v>37.321344000000003</v>
      </c>
      <c r="J15" s="2">
        <v>43.780608000000008</v>
      </c>
      <c r="K15" s="2">
        <v>2.2464</v>
      </c>
      <c r="L15" s="2">
        <v>41.534208000000007</v>
      </c>
      <c r="M15" s="1">
        <v>9</v>
      </c>
      <c r="N15" s="1">
        <v>7</v>
      </c>
      <c r="O15" s="1">
        <v>19</v>
      </c>
      <c r="P15" s="1">
        <v>38</v>
      </c>
    </row>
    <row r="16" spans="1:16" x14ac:dyDescent="0.3">
      <c r="A16" s="1">
        <v>1986</v>
      </c>
      <c r="B16" s="1">
        <v>28090</v>
      </c>
      <c r="C16" s="1">
        <v>31519</v>
      </c>
      <c r="D16" s="1">
        <v>31578</v>
      </c>
      <c r="E16" s="1">
        <v>60</v>
      </c>
      <c r="F16" s="2">
        <v>100.04169599999997</v>
      </c>
      <c r="G16" s="2">
        <v>12.72672</v>
      </c>
      <c r="H16" s="2">
        <v>24.180768</v>
      </c>
      <c r="I16" s="2">
        <v>30.452544000000003</v>
      </c>
      <c r="J16" s="2">
        <v>32.681663999999998</v>
      </c>
      <c r="K16" s="2">
        <v>4.3329599999999999</v>
      </c>
      <c r="L16" s="2">
        <v>28.348703999999994</v>
      </c>
      <c r="M16" s="1">
        <v>9</v>
      </c>
      <c r="N16" s="1">
        <v>10</v>
      </c>
      <c r="O16" s="1">
        <v>16</v>
      </c>
      <c r="P16" s="1">
        <v>25</v>
      </c>
    </row>
    <row r="17" spans="1:16" x14ac:dyDescent="0.3">
      <c r="A17" s="1">
        <v>1987</v>
      </c>
      <c r="B17" s="1">
        <v>28050</v>
      </c>
      <c r="C17" s="1">
        <v>31899</v>
      </c>
      <c r="D17" s="1">
        <v>31950</v>
      </c>
      <c r="E17" s="1">
        <v>52</v>
      </c>
      <c r="F17" s="2">
        <v>84.695327999999975</v>
      </c>
      <c r="G17" s="2">
        <v>16.187904</v>
      </c>
      <c r="H17" s="2">
        <v>12.095136</v>
      </c>
      <c r="I17" s="2">
        <v>33.250175999999989</v>
      </c>
      <c r="J17" s="2">
        <v>23.162111999999997</v>
      </c>
      <c r="K17" s="2">
        <v>8.4801599999999997</v>
      </c>
      <c r="L17" s="2">
        <v>14.681951999999999</v>
      </c>
      <c r="M17" s="1">
        <v>13</v>
      </c>
      <c r="N17" s="1">
        <v>5</v>
      </c>
      <c r="O17" s="1">
        <v>18</v>
      </c>
      <c r="P17" s="1">
        <v>16</v>
      </c>
    </row>
    <row r="18" spans="1:16" x14ac:dyDescent="0.3">
      <c r="A18" s="1">
        <v>1988</v>
      </c>
      <c r="B18" s="1">
        <v>28020</v>
      </c>
      <c r="C18" s="1">
        <v>32255</v>
      </c>
      <c r="D18" s="1">
        <v>32306</v>
      </c>
      <c r="E18" s="1">
        <v>52</v>
      </c>
      <c r="F18" s="2">
        <v>76.660128000000043</v>
      </c>
      <c r="G18" s="2">
        <v>11.231135999999999</v>
      </c>
      <c r="H18" s="2">
        <v>12.085632</v>
      </c>
      <c r="I18" s="2">
        <v>29.44512000000001</v>
      </c>
      <c r="J18" s="2">
        <v>23.898240000000001</v>
      </c>
      <c r="K18" s="2">
        <v>9.5264640000000007</v>
      </c>
      <c r="L18" s="2">
        <v>14.371776000000001</v>
      </c>
      <c r="M18" s="1">
        <v>8</v>
      </c>
      <c r="N18" s="1">
        <v>5</v>
      </c>
      <c r="O18" s="1">
        <v>20</v>
      </c>
      <c r="P18" s="1">
        <v>19</v>
      </c>
    </row>
    <row r="19" spans="1:16" x14ac:dyDescent="0.3">
      <c r="A19" s="1">
        <v>1989</v>
      </c>
      <c r="B19" s="1">
        <v>26100</v>
      </c>
      <c r="C19" s="1">
        <v>32615</v>
      </c>
      <c r="D19" s="1">
        <v>32670</v>
      </c>
      <c r="E19" s="1">
        <v>56</v>
      </c>
      <c r="F19" s="2">
        <v>77.941439999999972</v>
      </c>
      <c r="G19" s="2">
        <v>20.006784</v>
      </c>
      <c r="H19" s="2">
        <v>17.978975999999999</v>
      </c>
      <c r="I19" s="2">
        <v>15.256512000000003</v>
      </c>
      <c r="J19" s="2">
        <v>24.699167999999993</v>
      </c>
      <c r="K19" s="2">
        <v>8.7825600000000001</v>
      </c>
      <c r="L19" s="2">
        <v>15.916608</v>
      </c>
      <c r="M19" s="1">
        <v>16</v>
      </c>
      <c r="N19" s="1">
        <v>8</v>
      </c>
      <c r="O19" s="1">
        <v>11</v>
      </c>
      <c r="P19" s="1">
        <v>21</v>
      </c>
    </row>
    <row r="20" spans="1:16" x14ac:dyDescent="0.3">
      <c r="A20" s="1">
        <v>1990</v>
      </c>
      <c r="B20" s="1">
        <v>27100</v>
      </c>
      <c r="C20" s="1">
        <v>32961</v>
      </c>
      <c r="D20" s="1">
        <v>33076</v>
      </c>
      <c r="E20" s="1">
        <v>116</v>
      </c>
      <c r="F20" s="2">
        <v>170.99251200000003</v>
      </c>
      <c r="G20" s="2">
        <v>21.744288000000001</v>
      </c>
      <c r="H20" s="2">
        <v>16.338240000000003</v>
      </c>
      <c r="I20" s="2">
        <v>71.953919999999997</v>
      </c>
      <c r="J20" s="2">
        <v>60.956064000000012</v>
      </c>
      <c r="K20" s="2">
        <v>8.4844799999999996</v>
      </c>
      <c r="L20" s="2">
        <v>52.471584000000014</v>
      </c>
      <c r="M20" s="1">
        <v>19</v>
      </c>
      <c r="N20" s="1">
        <v>7</v>
      </c>
      <c r="O20" s="1">
        <v>38</v>
      </c>
      <c r="P20" s="1">
        <v>52</v>
      </c>
    </row>
    <row r="21" spans="1:16" x14ac:dyDescent="0.3">
      <c r="A21" s="1">
        <v>1991</v>
      </c>
      <c r="B21" s="1">
        <v>30200</v>
      </c>
      <c r="C21" s="1">
        <v>33335</v>
      </c>
      <c r="D21" s="1">
        <v>33408</v>
      </c>
      <c r="E21" s="1">
        <v>74</v>
      </c>
      <c r="F21" s="2">
        <v>147.335328</v>
      </c>
      <c r="G21" s="2">
        <v>49.714560000000006</v>
      </c>
      <c r="H21" s="2">
        <v>54.457919999999987</v>
      </c>
      <c r="I21" s="2">
        <v>7.0761599999999998</v>
      </c>
      <c r="J21" s="2">
        <v>36.086687999999995</v>
      </c>
      <c r="K21" s="2">
        <v>24.960959999999996</v>
      </c>
      <c r="L21" s="2">
        <v>11.125728000000001</v>
      </c>
      <c r="M21" s="1">
        <v>25</v>
      </c>
      <c r="N21" s="1">
        <v>21</v>
      </c>
      <c r="O21" s="1">
        <v>5</v>
      </c>
      <c r="P21" s="1">
        <v>23</v>
      </c>
    </row>
    <row r="22" spans="1:16" x14ac:dyDescent="0.3">
      <c r="A22" s="1">
        <v>1992</v>
      </c>
      <c r="B22" s="1">
        <v>27600</v>
      </c>
      <c r="C22" s="1">
        <v>33709</v>
      </c>
      <c r="D22" s="1">
        <v>33775</v>
      </c>
      <c r="E22" s="1">
        <v>67</v>
      </c>
      <c r="F22" s="2">
        <v>100.21449600000001</v>
      </c>
      <c r="G22" s="2">
        <v>20.441376000000002</v>
      </c>
      <c r="H22" s="2">
        <v>14.117760000000001</v>
      </c>
      <c r="I22" s="2">
        <v>36.011520000000004</v>
      </c>
      <c r="J22" s="2">
        <v>29.643839999999997</v>
      </c>
      <c r="K22" s="2">
        <v>10.04832</v>
      </c>
      <c r="L22" s="2">
        <v>19.595519999999997</v>
      </c>
      <c r="M22" s="1">
        <v>14</v>
      </c>
      <c r="N22" s="1">
        <v>6</v>
      </c>
      <c r="O22" s="1">
        <v>23</v>
      </c>
      <c r="P22" s="1">
        <v>24</v>
      </c>
    </row>
    <row r="23" spans="1:16" x14ac:dyDescent="0.3">
      <c r="A23" s="1">
        <v>1993</v>
      </c>
      <c r="B23" s="1">
        <v>28100</v>
      </c>
      <c r="C23" s="1">
        <v>34077</v>
      </c>
      <c r="D23" s="1">
        <v>34135</v>
      </c>
      <c r="E23" s="1">
        <v>59</v>
      </c>
      <c r="F23" s="2">
        <v>89.008416000000011</v>
      </c>
      <c r="G23" s="2">
        <v>33.696863999999998</v>
      </c>
      <c r="H23" s="2">
        <v>4.8556800000000004</v>
      </c>
      <c r="I23" s="2">
        <v>31.631040000000009</v>
      </c>
      <c r="J23" s="2">
        <v>18.824832000000001</v>
      </c>
      <c r="K23" s="2">
        <v>13.277952000000001</v>
      </c>
      <c r="L23" s="2">
        <v>5.5468799999999998</v>
      </c>
      <c r="M23" s="1">
        <v>21</v>
      </c>
      <c r="N23" s="1">
        <v>2</v>
      </c>
      <c r="O23" s="1">
        <v>20</v>
      </c>
      <c r="P23" s="1">
        <v>16</v>
      </c>
    </row>
    <row r="24" spans="1:16" x14ac:dyDescent="0.3">
      <c r="A24" s="1">
        <v>1994</v>
      </c>
      <c r="B24" s="1">
        <v>28100</v>
      </c>
      <c r="C24" s="1">
        <v>34428</v>
      </c>
      <c r="D24" s="1">
        <v>34506</v>
      </c>
      <c r="E24" s="1">
        <v>79</v>
      </c>
      <c r="F24" s="2">
        <v>129.05222400000002</v>
      </c>
      <c r="G24" s="2">
        <v>48.633696000000008</v>
      </c>
      <c r="H24" s="2">
        <v>7.2662399999999998</v>
      </c>
      <c r="I24" s="2">
        <v>29.03904</v>
      </c>
      <c r="J24" s="2">
        <v>44.113247999999999</v>
      </c>
      <c r="K24" s="2">
        <v>19.10304</v>
      </c>
      <c r="L24" s="2">
        <v>25.010208000000002</v>
      </c>
      <c r="M24" s="1">
        <v>33</v>
      </c>
      <c r="N24" s="1">
        <v>3</v>
      </c>
      <c r="O24" s="1">
        <v>16</v>
      </c>
      <c r="P24" s="1">
        <v>27</v>
      </c>
    </row>
    <row r="25" spans="1:16" x14ac:dyDescent="0.3">
      <c r="A25" s="1">
        <v>1995</v>
      </c>
      <c r="B25" s="1">
        <v>28100</v>
      </c>
      <c r="C25" s="1">
        <v>34797</v>
      </c>
      <c r="D25" s="1">
        <v>34865</v>
      </c>
      <c r="E25" s="1">
        <v>69</v>
      </c>
      <c r="F25" s="2">
        <v>122.952384</v>
      </c>
      <c r="G25" s="2">
        <v>20.774016</v>
      </c>
      <c r="H25" s="2">
        <v>45.95615999999999</v>
      </c>
      <c r="I25" s="2">
        <v>33.436800000000005</v>
      </c>
      <c r="J25" s="2">
        <v>22.785407999999997</v>
      </c>
      <c r="K25" s="2">
        <v>13.64256</v>
      </c>
      <c r="L25" s="2">
        <v>9.142847999999999</v>
      </c>
      <c r="M25" s="1">
        <v>15</v>
      </c>
      <c r="N25" s="1">
        <v>19</v>
      </c>
      <c r="O25" s="1">
        <v>18</v>
      </c>
      <c r="P25" s="1">
        <v>17</v>
      </c>
    </row>
    <row r="26" spans="1:16" x14ac:dyDescent="0.3">
      <c r="A26" s="1">
        <v>1996</v>
      </c>
      <c r="B26" s="1">
        <v>24100</v>
      </c>
      <c r="C26" s="1">
        <v>35187</v>
      </c>
      <c r="D26" s="1">
        <v>35216</v>
      </c>
      <c r="E26" s="1">
        <v>30</v>
      </c>
      <c r="F26" s="2">
        <v>35.296127999999996</v>
      </c>
      <c r="G26" s="2">
        <v>16.369343999999998</v>
      </c>
      <c r="H26" s="2">
        <v>8.2857599999999998</v>
      </c>
      <c r="I26" s="2">
        <v>0</v>
      </c>
      <c r="J26" s="2">
        <v>10.641024000000002</v>
      </c>
      <c r="K26" s="2">
        <v>10.641024000000002</v>
      </c>
      <c r="L26" s="2">
        <v>0</v>
      </c>
      <c r="M26" s="1">
        <v>16</v>
      </c>
      <c r="N26" s="1">
        <v>4</v>
      </c>
      <c r="O26" s="1">
        <v>0</v>
      </c>
      <c r="P26" s="1">
        <v>10</v>
      </c>
    </row>
    <row r="27" spans="1:16" x14ac:dyDescent="0.3">
      <c r="A27" s="1">
        <v>1997</v>
      </c>
      <c r="B27" s="1">
        <v>26200</v>
      </c>
      <c r="C27" s="1">
        <v>35544</v>
      </c>
      <c r="D27" s="1">
        <v>35610</v>
      </c>
      <c r="E27" s="1">
        <v>67</v>
      </c>
      <c r="F27" s="2">
        <v>104.46883199999999</v>
      </c>
      <c r="G27" s="2">
        <v>10.622016</v>
      </c>
      <c r="H27" s="2">
        <v>22.498560000000005</v>
      </c>
      <c r="I27" s="2">
        <v>32.080319999999993</v>
      </c>
      <c r="J27" s="2">
        <v>39.267935999999999</v>
      </c>
      <c r="K27" s="2">
        <v>13.35744</v>
      </c>
      <c r="L27" s="2">
        <v>25.910495999999998</v>
      </c>
      <c r="M27" s="1">
        <v>9</v>
      </c>
      <c r="N27" s="1">
        <v>10</v>
      </c>
      <c r="O27" s="1">
        <v>18</v>
      </c>
      <c r="P27" s="1">
        <v>30</v>
      </c>
    </row>
    <row r="28" spans="1:16" x14ac:dyDescent="0.3">
      <c r="A28" s="1">
        <v>1998</v>
      </c>
      <c r="B28" s="1">
        <v>26200</v>
      </c>
      <c r="C28" s="1">
        <v>35916</v>
      </c>
      <c r="D28" s="1">
        <v>35974</v>
      </c>
      <c r="E28" s="1">
        <v>59</v>
      </c>
      <c r="F28" s="2">
        <v>99.647712000000013</v>
      </c>
      <c r="G28" s="2">
        <v>11.694240000000001</v>
      </c>
      <c r="H28" s="2">
        <v>22.472640000000002</v>
      </c>
      <c r="I28" s="2">
        <v>40.659840000000003</v>
      </c>
      <c r="J28" s="2">
        <v>24.820991999999997</v>
      </c>
      <c r="K28" s="2">
        <v>6.1430400000000001</v>
      </c>
      <c r="L28" s="2">
        <v>18.677951999999998</v>
      </c>
      <c r="M28" s="1">
        <v>9</v>
      </c>
      <c r="N28" s="1">
        <v>10</v>
      </c>
      <c r="O28" s="1">
        <v>21</v>
      </c>
      <c r="P28" s="1">
        <v>19</v>
      </c>
    </row>
    <row r="29" spans="1:16" x14ac:dyDescent="0.3">
      <c r="A29" s="1">
        <v>1999</v>
      </c>
      <c r="B29" s="1">
        <v>26100</v>
      </c>
      <c r="C29" s="1">
        <v>36268</v>
      </c>
      <c r="D29" s="1">
        <v>36330</v>
      </c>
      <c r="E29" s="1">
        <v>63</v>
      </c>
      <c r="F29" s="2">
        <v>103.18406400000002</v>
      </c>
      <c r="G29" s="2">
        <v>21.340800000000002</v>
      </c>
      <c r="H29" s="2">
        <v>24.684480000000001</v>
      </c>
      <c r="I29" s="2">
        <v>27.691200000000009</v>
      </c>
      <c r="J29" s="2">
        <v>29.467584000000002</v>
      </c>
      <c r="K29" s="2">
        <v>9.9619199999999992</v>
      </c>
      <c r="L29" s="2">
        <v>19.505664000000003</v>
      </c>
      <c r="M29" s="1">
        <v>13</v>
      </c>
      <c r="N29" s="1">
        <v>11</v>
      </c>
      <c r="O29" s="1">
        <v>14</v>
      </c>
      <c r="P29" s="1">
        <v>25</v>
      </c>
    </row>
    <row r="30" spans="1:16" x14ac:dyDescent="0.3">
      <c r="A30" s="1">
        <v>2000</v>
      </c>
      <c r="B30" s="1">
        <v>26000</v>
      </c>
      <c r="C30" s="1">
        <v>36633</v>
      </c>
      <c r="D30" s="1">
        <v>36690</v>
      </c>
      <c r="E30" s="1">
        <v>58</v>
      </c>
      <c r="F30" s="2">
        <v>89.750592000000012</v>
      </c>
      <c r="G30" s="2">
        <v>14.505696</v>
      </c>
      <c r="H30" s="2">
        <v>17.95392</v>
      </c>
      <c r="I30" s="2">
        <v>36.313920000000017</v>
      </c>
      <c r="J30" s="2">
        <v>20.977056000000001</v>
      </c>
      <c r="K30" s="2">
        <v>5.7974399999999999</v>
      </c>
      <c r="L30" s="2">
        <v>15.179616000000001</v>
      </c>
      <c r="M30" s="1">
        <v>12</v>
      </c>
      <c r="N30" s="1">
        <v>8</v>
      </c>
      <c r="O30" s="1">
        <v>21</v>
      </c>
      <c r="P30" s="1">
        <v>17</v>
      </c>
    </row>
    <row r="31" spans="1:16" x14ac:dyDescent="0.3">
      <c r="A31" s="1">
        <v>2001</v>
      </c>
      <c r="B31" s="1">
        <v>28000</v>
      </c>
      <c r="C31" s="1">
        <v>37001</v>
      </c>
      <c r="D31" s="1">
        <v>37060</v>
      </c>
      <c r="E31" s="1">
        <v>60</v>
      </c>
      <c r="F31" s="2">
        <v>111.25468799999999</v>
      </c>
      <c r="G31" s="2">
        <v>15.062976000000001</v>
      </c>
      <c r="H31" s="2">
        <v>24.166080000000001</v>
      </c>
      <c r="I31" s="2">
        <v>32.34816</v>
      </c>
      <c r="J31" s="2">
        <v>39.677472000000002</v>
      </c>
      <c r="K31" s="2">
        <v>35.011872000000004</v>
      </c>
      <c r="L31" s="2">
        <v>4.6655999999999995</v>
      </c>
      <c r="M31" s="1">
        <v>11</v>
      </c>
      <c r="N31" s="1">
        <v>10</v>
      </c>
      <c r="O31" s="1">
        <v>14</v>
      </c>
      <c r="P31" s="1">
        <v>25</v>
      </c>
    </row>
    <row r="32" spans="1:16" x14ac:dyDescent="0.3">
      <c r="A32" s="1">
        <v>2002</v>
      </c>
      <c r="B32" s="1">
        <v>26100</v>
      </c>
      <c r="C32" s="1">
        <v>37366</v>
      </c>
      <c r="D32" s="1">
        <v>37430</v>
      </c>
      <c r="E32" s="1">
        <v>65</v>
      </c>
      <c r="F32" s="2">
        <v>102.06604799999999</v>
      </c>
      <c r="G32" s="2">
        <v>17.107199999999999</v>
      </c>
      <c r="H32" s="2">
        <v>22.455360000000002</v>
      </c>
      <c r="I32" s="2">
        <v>39.234239999999993</v>
      </c>
      <c r="J32" s="2">
        <v>23.269247999999997</v>
      </c>
      <c r="K32" s="2">
        <v>11.664</v>
      </c>
      <c r="L32" s="2">
        <v>11.605248</v>
      </c>
      <c r="M32" s="1">
        <v>12</v>
      </c>
      <c r="N32" s="1">
        <v>10</v>
      </c>
      <c r="O32" s="1">
        <v>25</v>
      </c>
      <c r="P32" s="1">
        <v>18</v>
      </c>
    </row>
    <row r="33" spans="1:16" x14ac:dyDescent="0.3">
      <c r="A33" s="1">
        <v>2003</v>
      </c>
      <c r="B33" s="1">
        <v>26000</v>
      </c>
      <c r="C33" s="1">
        <v>37735</v>
      </c>
      <c r="D33" s="1">
        <v>37787</v>
      </c>
      <c r="E33" s="1">
        <v>53</v>
      </c>
      <c r="F33" s="2">
        <v>78.917760000000001</v>
      </c>
      <c r="G33" s="2">
        <v>21.358079999999998</v>
      </c>
      <c r="H33" s="2">
        <v>22.464000000000002</v>
      </c>
      <c r="I33" s="2">
        <v>14.66208</v>
      </c>
      <c r="J33" s="2">
        <v>20.433599999999998</v>
      </c>
      <c r="K33" s="2">
        <v>7.2748799999999996</v>
      </c>
      <c r="L33" s="2">
        <v>13.158720000000001</v>
      </c>
      <c r="M33" s="1">
        <v>16</v>
      </c>
      <c r="N33" s="1">
        <v>10</v>
      </c>
      <c r="O33" s="1">
        <v>10</v>
      </c>
      <c r="P33" s="1">
        <v>17</v>
      </c>
    </row>
    <row r="34" spans="1:16" x14ac:dyDescent="0.3">
      <c r="A34" s="1">
        <v>2004</v>
      </c>
      <c r="B34" s="1">
        <v>26000</v>
      </c>
      <c r="C34" s="1">
        <v>38089</v>
      </c>
      <c r="D34" s="1">
        <v>38151</v>
      </c>
      <c r="E34" s="1">
        <v>63</v>
      </c>
      <c r="F34" s="2">
        <v>90.666432000000015</v>
      </c>
      <c r="G34" s="2">
        <v>17.259263999999998</v>
      </c>
      <c r="H34" s="2">
        <v>22.438080000000003</v>
      </c>
      <c r="I34" s="2">
        <v>22.032000000000007</v>
      </c>
      <c r="J34" s="2">
        <v>28.937087999999996</v>
      </c>
      <c r="K34" s="2">
        <v>8.8991999999999987</v>
      </c>
      <c r="L34" s="2">
        <v>20.037887999999995</v>
      </c>
      <c r="M34" s="1">
        <v>14</v>
      </c>
      <c r="N34" s="1">
        <v>10</v>
      </c>
      <c r="O34" s="1">
        <v>15</v>
      </c>
      <c r="P34" s="1">
        <v>24</v>
      </c>
    </row>
    <row r="35" spans="1:16" x14ac:dyDescent="0.3">
      <c r="A35" s="1">
        <v>2005</v>
      </c>
      <c r="B35" s="1">
        <v>28200</v>
      </c>
      <c r="C35" s="1">
        <v>38458</v>
      </c>
      <c r="D35" s="1">
        <v>38523</v>
      </c>
      <c r="E35" s="1">
        <v>66</v>
      </c>
      <c r="F35" s="2">
        <v>117.91007999999999</v>
      </c>
      <c r="G35" s="2">
        <v>20.295359999999999</v>
      </c>
      <c r="H35" s="2">
        <v>36.400319999999994</v>
      </c>
      <c r="I35" s="2">
        <v>36.115200000000009</v>
      </c>
      <c r="J35" s="2">
        <v>25.099200000000003</v>
      </c>
      <c r="K35" s="2">
        <v>7.7155199999999997</v>
      </c>
      <c r="L35" s="2">
        <v>17.383680000000002</v>
      </c>
      <c r="M35" s="1">
        <v>15</v>
      </c>
      <c r="N35" s="1">
        <v>15</v>
      </c>
      <c r="O35" s="1">
        <v>17</v>
      </c>
      <c r="P35" s="1">
        <v>19</v>
      </c>
    </row>
    <row r="36" spans="1:16" x14ac:dyDescent="0.3">
      <c r="A36" s="1">
        <v>2006</v>
      </c>
      <c r="B36" s="1">
        <v>18300</v>
      </c>
      <c r="C36" s="1">
        <v>38835</v>
      </c>
      <c r="D36" s="1">
        <v>38882</v>
      </c>
      <c r="E36" s="1">
        <v>48</v>
      </c>
      <c r="F36" s="2">
        <v>56.648159999999997</v>
      </c>
      <c r="G36" s="2">
        <v>5.7110400000000006</v>
      </c>
      <c r="H36" s="2">
        <v>4.7001600000000003</v>
      </c>
      <c r="I36" s="2">
        <v>34.974719999999998</v>
      </c>
      <c r="J36" s="2">
        <v>11.26224</v>
      </c>
      <c r="K36" s="2">
        <v>4.32</v>
      </c>
      <c r="L36" s="2">
        <v>6.94224</v>
      </c>
      <c r="M36" s="1">
        <v>6</v>
      </c>
      <c r="N36" s="1">
        <v>3</v>
      </c>
      <c r="O36" s="1">
        <v>28</v>
      </c>
      <c r="P36" s="1">
        <v>11</v>
      </c>
    </row>
    <row r="37" spans="1:16" x14ac:dyDescent="0.3">
      <c r="A37" s="1">
        <v>2007</v>
      </c>
      <c r="B37" s="1">
        <v>25940</v>
      </c>
      <c r="C37" s="1">
        <v>39183</v>
      </c>
      <c r="D37" s="1">
        <v>39254</v>
      </c>
      <c r="E37" s="1">
        <v>72</v>
      </c>
      <c r="F37" s="2">
        <v>107.28288000000003</v>
      </c>
      <c r="G37" s="2">
        <v>11.799648000000001</v>
      </c>
      <c r="H37" s="2">
        <v>15.653951999999999</v>
      </c>
      <c r="I37" s="2">
        <v>60.344352000000043</v>
      </c>
      <c r="J37" s="2">
        <v>19.484928</v>
      </c>
      <c r="K37" s="2">
        <v>7.289568</v>
      </c>
      <c r="L37" s="2">
        <v>12.195359999999999</v>
      </c>
      <c r="M37" s="1">
        <v>8</v>
      </c>
      <c r="N37" s="1">
        <v>7</v>
      </c>
      <c r="O37" s="1">
        <v>41</v>
      </c>
      <c r="P37" s="1">
        <v>16</v>
      </c>
    </row>
    <row r="38" spans="1:16" x14ac:dyDescent="0.3">
      <c r="A38" s="1">
        <v>2008</v>
      </c>
      <c r="B38" s="1">
        <v>27180</v>
      </c>
      <c r="C38" s="1">
        <v>39550</v>
      </c>
      <c r="D38" s="1">
        <v>39604</v>
      </c>
      <c r="E38" s="1">
        <v>55</v>
      </c>
      <c r="F38" s="2">
        <v>83.594592000000006</v>
      </c>
      <c r="G38" s="2">
        <v>13.620959999999998</v>
      </c>
      <c r="H38" s="2">
        <v>21.009023999999997</v>
      </c>
      <c r="I38" s="2">
        <v>30.872447999999999</v>
      </c>
      <c r="J38" s="2">
        <v>18.09216</v>
      </c>
      <c r="K38" s="2">
        <v>7.6282559999999995</v>
      </c>
      <c r="L38" s="2">
        <v>10.463904000000001</v>
      </c>
      <c r="M38" s="1">
        <v>10</v>
      </c>
      <c r="N38" s="1">
        <v>9</v>
      </c>
      <c r="O38" s="1">
        <v>21</v>
      </c>
      <c r="P38" s="1">
        <v>15</v>
      </c>
    </row>
    <row r="39" spans="1:16" x14ac:dyDescent="0.3">
      <c r="A39" s="1">
        <v>2009</v>
      </c>
      <c r="B39" s="1">
        <v>27040</v>
      </c>
      <c r="C39" s="1">
        <v>39922</v>
      </c>
      <c r="D39" s="1">
        <v>39973</v>
      </c>
      <c r="E39" s="1">
        <v>52</v>
      </c>
      <c r="F39" s="2">
        <v>74.217600000000019</v>
      </c>
      <c r="G39" s="2">
        <v>13.219200000000001</v>
      </c>
      <c r="H39" s="2">
        <v>6.9984000000000002</v>
      </c>
      <c r="I39" s="2">
        <v>37.584000000000017</v>
      </c>
      <c r="J39" s="2">
        <v>16.415999999999997</v>
      </c>
      <c r="K39" s="2">
        <v>5.4863999999999997</v>
      </c>
      <c r="L39" s="2">
        <v>10.929599999999999</v>
      </c>
      <c r="M39" s="1">
        <v>10</v>
      </c>
      <c r="N39" s="1">
        <v>3</v>
      </c>
      <c r="O39" s="1">
        <v>24</v>
      </c>
      <c r="P39" s="1">
        <v>15</v>
      </c>
    </row>
    <row r="40" spans="1:16" x14ac:dyDescent="0.3">
      <c r="A40" s="1">
        <v>2010</v>
      </c>
      <c r="B40" s="1">
        <v>27040</v>
      </c>
      <c r="C40" s="1">
        <v>40293</v>
      </c>
      <c r="D40" s="1">
        <v>40343</v>
      </c>
      <c r="E40" s="1">
        <v>51</v>
      </c>
      <c r="F40" s="2">
        <v>72.357408000000007</v>
      </c>
      <c r="G40" s="2">
        <v>11.58624</v>
      </c>
      <c r="H40" s="2">
        <v>16.326144000000003</v>
      </c>
      <c r="I40" s="2">
        <v>26.411616000000002</v>
      </c>
      <c r="J40" s="2">
        <v>18.033408000000001</v>
      </c>
      <c r="K40" s="2">
        <v>7.6204799999999997</v>
      </c>
      <c r="L40" s="2">
        <v>10.412928000000001</v>
      </c>
      <c r="M40" s="1">
        <v>9</v>
      </c>
      <c r="N40" s="1">
        <v>7</v>
      </c>
      <c r="O40" s="1">
        <v>18</v>
      </c>
      <c r="P40" s="1">
        <v>17</v>
      </c>
    </row>
    <row r="41" spans="1:16" x14ac:dyDescent="0.3">
      <c r="A41" s="1">
        <v>2011</v>
      </c>
      <c r="B41" s="1">
        <v>24990</v>
      </c>
      <c r="C41" s="1">
        <v>40654</v>
      </c>
      <c r="D41" s="1">
        <v>40697</v>
      </c>
      <c r="E41" s="1">
        <v>44</v>
      </c>
      <c r="F41" s="2">
        <v>56.823552000000007</v>
      </c>
      <c r="G41" s="2">
        <v>17.800992000000001</v>
      </c>
      <c r="H41" s="2">
        <v>10.757664000000002</v>
      </c>
      <c r="I41" s="2">
        <v>14.357087999999999</v>
      </c>
      <c r="J41" s="2">
        <v>13.907807999999999</v>
      </c>
      <c r="K41" s="2">
        <v>6.9154559999999998</v>
      </c>
      <c r="L41" s="2">
        <v>6.9923520000000003</v>
      </c>
      <c r="M41" s="1">
        <v>15</v>
      </c>
      <c r="N41" s="1">
        <v>5</v>
      </c>
      <c r="O41" s="1">
        <v>11</v>
      </c>
      <c r="P41" s="1">
        <v>13</v>
      </c>
    </row>
    <row r="42" spans="1:16" x14ac:dyDescent="0.3">
      <c r="A42" s="1">
        <v>2012</v>
      </c>
      <c r="B42" s="1">
        <v>25270</v>
      </c>
      <c r="C42" s="1">
        <v>41022</v>
      </c>
      <c r="D42" s="1">
        <v>41074</v>
      </c>
      <c r="E42" s="1">
        <v>53</v>
      </c>
      <c r="F42" s="2">
        <v>78.572159999999997</v>
      </c>
      <c r="G42" s="2">
        <v>17.479584000000003</v>
      </c>
      <c r="H42" s="2">
        <v>17.381087999999998</v>
      </c>
      <c r="I42" s="2">
        <v>20.24784</v>
      </c>
      <c r="J42" s="2">
        <v>23.463647999999999</v>
      </c>
      <c r="K42" s="2">
        <v>5.7412799999999997</v>
      </c>
      <c r="L42" s="2">
        <v>17.722367999999999</v>
      </c>
      <c r="M42" s="1">
        <v>13</v>
      </c>
      <c r="N42" s="1">
        <v>8</v>
      </c>
      <c r="O42" s="1">
        <v>13</v>
      </c>
      <c r="P42" s="1">
        <v>19</v>
      </c>
    </row>
    <row r="43" spans="1:16" x14ac:dyDescent="0.3">
      <c r="A43" s="1">
        <v>2013</v>
      </c>
      <c r="B43" s="1">
        <v>27180</v>
      </c>
      <c r="C43" s="1">
        <v>41376</v>
      </c>
      <c r="D43" s="1">
        <v>41430</v>
      </c>
      <c r="E43" s="1">
        <v>55</v>
      </c>
      <c r="F43" s="2">
        <v>83.594592000000006</v>
      </c>
      <c r="G43" s="2">
        <v>13.620959999999998</v>
      </c>
      <c r="H43" s="2">
        <v>21.009023999999997</v>
      </c>
      <c r="I43" s="2">
        <v>30.872447999999999</v>
      </c>
      <c r="J43" s="2">
        <v>18.09216</v>
      </c>
      <c r="K43" s="2">
        <v>7.6282559999999995</v>
      </c>
      <c r="L43" s="2">
        <v>10.463904000000001</v>
      </c>
      <c r="M43" s="1">
        <v>10</v>
      </c>
      <c r="N43" s="1">
        <v>9</v>
      </c>
      <c r="O43" s="1">
        <v>21</v>
      </c>
      <c r="P43" s="1">
        <v>15</v>
      </c>
    </row>
    <row r="44" spans="1:16" x14ac:dyDescent="0.3">
      <c r="A44" s="1">
        <v>2014</v>
      </c>
      <c r="B44" s="1">
        <v>25960</v>
      </c>
      <c r="C44" s="1">
        <v>41752</v>
      </c>
      <c r="D44" s="1">
        <v>41792</v>
      </c>
      <c r="E44" s="1">
        <v>41</v>
      </c>
      <c r="F44" s="2">
        <v>55.963008000000002</v>
      </c>
      <c r="G44" s="2">
        <v>16.333919999999999</v>
      </c>
      <c r="H44" s="2">
        <v>11.178431999999999</v>
      </c>
      <c r="I44" s="2">
        <v>15.372287999999998</v>
      </c>
      <c r="J44" s="2">
        <v>13.078368000000001</v>
      </c>
      <c r="K44" s="2">
        <v>6.5093760000000005</v>
      </c>
      <c r="L44" s="2">
        <v>6.5689919999999997</v>
      </c>
      <c r="M44" s="1">
        <v>12</v>
      </c>
      <c r="N44" s="1">
        <v>5</v>
      </c>
      <c r="O44" s="1">
        <v>12</v>
      </c>
      <c r="P44" s="1">
        <v>12</v>
      </c>
    </row>
    <row r="45" spans="1:16" x14ac:dyDescent="0.3">
      <c r="A45" s="1">
        <v>2015</v>
      </c>
      <c r="B45" s="1">
        <v>16130</v>
      </c>
      <c r="C45" s="1">
        <v>42125</v>
      </c>
      <c r="D45" s="1">
        <v>42160</v>
      </c>
      <c r="E45" s="1">
        <v>36</v>
      </c>
      <c r="F45" s="2">
        <v>39.595392000000004</v>
      </c>
      <c r="G45" s="2">
        <v>5.4639359999999995</v>
      </c>
      <c r="H45" s="2">
        <v>9.623231999999998</v>
      </c>
      <c r="I45" s="2">
        <v>17.94528</v>
      </c>
      <c r="J45" s="2">
        <v>6.5629439999999999</v>
      </c>
      <c r="K45" s="2">
        <v>6.5629439999999999</v>
      </c>
      <c r="L45" s="2">
        <v>0</v>
      </c>
      <c r="M45" s="1">
        <v>6</v>
      </c>
      <c r="N45" s="1">
        <v>7</v>
      </c>
      <c r="O45" s="1">
        <v>15</v>
      </c>
      <c r="P45" s="1">
        <v>8</v>
      </c>
    </row>
    <row r="46" spans="1:16" x14ac:dyDescent="0.3">
      <c r="A46" s="1">
        <v>2016</v>
      </c>
      <c r="B46" s="1">
        <v>27500</v>
      </c>
      <c r="C46" s="1">
        <v>42475</v>
      </c>
      <c r="D46" s="1">
        <v>42531</v>
      </c>
      <c r="E46" s="1">
        <v>57</v>
      </c>
      <c r="F46" s="2">
        <v>106.68758399999997</v>
      </c>
      <c r="G46" s="2">
        <v>9.4901760000000017</v>
      </c>
      <c r="H46" s="2">
        <v>58.664735999999969</v>
      </c>
      <c r="I46" s="2">
        <v>14.003712</v>
      </c>
      <c r="J46" s="2">
        <v>24.528960000000001</v>
      </c>
      <c r="K46" s="2">
        <v>11.382336</v>
      </c>
      <c r="L46" s="2">
        <v>13.146624000000001</v>
      </c>
      <c r="M46" s="1">
        <v>7</v>
      </c>
      <c r="N46" s="1">
        <v>25</v>
      </c>
      <c r="O46" s="1">
        <v>7</v>
      </c>
      <c r="P46" s="1">
        <v>18</v>
      </c>
    </row>
    <row r="47" spans="1:16" x14ac:dyDescent="0.3">
      <c r="A47" s="1">
        <v>2017</v>
      </c>
      <c r="B47" s="1">
        <v>25090</v>
      </c>
      <c r="C47" s="1">
        <v>42845</v>
      </c>
      <c r="D47" s="1">
        <v>42893</v>
      </c>
      <c r="E47" s="1">
        <v>46</v>
      </c>
      <c r="F47" s="2">
        <v>71.395775999999998</v>
      </c>
      <c r="G47" s="2">
        <v>24.045984000000001</v>
      </c>
      <c r="H47" s="2">
        <v>19.422720000000002</v>
      </c>
      <c r="I47" s="2">
        <v>12.501215999999999</v>
      </c>
      <c r="J47" s="2">
        <v>8.4749759999999998</v>
      </c>
      <c r="K47" s="2">
        <v>6.9508799999999997</v>
      </c>
      <c r="L47" s="2">
        <v>15.425856</v>
      </c>
      <c r="M47" s="1">
        <v>18</v>
      </c>
      <c r="N47" s="1">
        <v>9</v>
      </c>
      <c r="O47" s="1">
        <v>8</v>
      </c>
      <c r="P47" s="1">
        <v>11</v>
      </c>
    </row>
    <row r="48" spans="1:16" x14ac:dyDescent="0.3">
      <c r="A48" s="1">
        <v>2018</v>
      </c>
      <c r="B48" s="1">
        <v>26900</v>
      </c>
      <c r="C48" s="1">
        <v>43205</v>
      </c>
      <c r="D48" s="1">
        <v>43268</v>
      </c>
      <c r="E48" s="1">
        <v>64</v>
      </c>
      <c r="F48" s="2">
        <v>95.1587999999999</v>
      </c>
      <c r="G48" s="2">
        <v>8.7540480000000009</v>
      </c>
      <c r="H48" s="2">
        <v>38.462687999999986</v>
      </c>
      <c r="I48" s="2">
        <v>22.648032000000001</v>
      </c>
      <c r="J48" s="2">
        <v>25.294032000000001</v>
      </c>
      <c r="K48" s="2">
        <v>10.314432</v>
      </c>
      <c r="L48" s="2">
        <v>14.979600000000003</v>
      </c>
      <c r="M48" s="1">
        <v>6</v>
      </c>
      <c r="N48" s="1">
        <v>11</v>
      </c>
      <c r="O48" s="1">
        <v>24</v>
      </c>
      <c r="P48" s="1">
        <v>23</v>
      </c>
    </row>
    <row r="49" spans="1:16" x14ac:dyDescent="0.3">
      <c r="A49" s="1">
        <v>2019</v>
      </c>
      <c r="B49" s="1">
        <v>25040</v>
      </c>
      <c r="C49" s="1">
        <v>43577</v>
      </c>
      <c r="D49" s="1">
        <v>43607</v>
      </c>
      <c r="E49" s="1">
        <v>31</v>
      </c>
      <c r="F49" s="2">
        <v>41.00112</v>
      </c>
      <c r="G49" s="2">
        <v>13.857696000000001</v>
      </c>
      <c r="H49" s="2">
        <v>10.746432000000002</v>
      </c>
      <c r="I49" s="2">
        <v>0</v>
      </c>
      <c r="J49" s="2">
        <v>16.396992000000001</v>
      </c>
      <c r="K49" s="2">
        <v>0</v>
      </c>
      <c r="L49" s="2">
        <v>0</v>
      </c>
      <c r="M49" s="1">
        <v>11</v>
      </c>
      <c r="N49" s="1">
        <v>5</v>
      </c>
      <c r="O49" s="1"/>
      <c r="P49" s="1">
        <v>15</v>
      </c>
    </row>
    <row r="50" spans="1:16" x14ac:dyDescent="0.3">
      <c r="A50" s="1">
        <v>2020</v>
      </c>
      <c r="B50" s="1">
        <v>25260</v>
      </c>
      <c r="C50" s="1">
        <v>43910</v>
      </c>
      <c r="D50" s="1">
        <v>44012</v>
      </c>
      <c r="E50" s="1">
        <v>103</v>
      </c>
      <c r="F50" s="2">
        <v>146.42812800000002</v>
      </c>
      <c r="G50" s="2">
        <v>29.306015999999996</v>
      </c>
      <c r="H50" s="2">
        <v>10.854431999999999</v>
      </c>
      <c r="I50" s="2">
        <v>82.334016000000005</v>
      </c>
      <c r="J50" s="2">
        <v>23.933664</v>
      </c>
      <c r="K50" s="2"/>
      <c r="L50" s="2"/>
      <c r="M50" s="1">
        <v>24</v>
      </c>
      <c r="N50" s="1">
        <v>5</v>
      </c>
      <c r="O50" s="1">
        <v>54</v>
      </c>
      <c r="P50" s="1">
        <v>20</v>
      </c>
    </row>
    <row r="51" spans="1:16" x14ac:dyDescent="0.3">
      <c r="A51" s="1">
        <v>2021</v>
      </c>
      <c r="B51" s="1">
        <v>25080</v>
      </c>
      <c r="C51" s="1">
        <v>44305</v>
      </c>
      <c r="D51" s="1">
        <v>44359</v>
      </c>
      <c r="E51" s="1">
        <v>55</v>
      </c>
      <c r="F51" s="2">
        <v>79.834464000000025</v>
      </c>
      <c r="G51" s="2">
        <v>11.527488</v>
      </c>
      <c r="H51" s="2">
        <v>14.979168000000001</v>
      </c>
      <c r="I51" s="2">
        <v>37.479456000000006</v>
      </c>
      <c r="J51" s="2">
        <v>15.848352</v>
      </c>
      <c r="K51" s="2">
        <v>5.3870399999999998</v>
      </c>
      <c r="L51" s="2">
        <v>10.461312000000001</v>
      </c>
      <c r="M51" s="1">
        <v>9</v>
      </c>
      <c r="N51" s="1">
        <v>7</v>
      </c>
      <c r="O51" s="1">
        <v>25</v>
      </c>
      <c r="P51" s="1">
        <v>14</v>
      </c>
    </row>
    <row r="52" spans="1:16" x14ac:dyDescent="0.3">
      <c r="A52" s="1">
        <v>2022</v>
      </c>
      <c r="B52" s="1">
        <v>24950</v>
      </c>
      <c r="C52" s="1">
        <v>44670</v>
      </c>
      <c r="D52" s="1">
        <v>44711</v>
      </c>
      <c r="E52" s="1">
        <v>42</v>
      </c>
      <c r="F52" s="2">
        <v>58.204223999999996</v>
      </c>
      <c r="G52" s="2">
        <v>11.464416</v>
      </c>
      <c r="H52" s="2">
        <v>12.857184</v>
      </c>
      <c r="I52" s="2">
        <v>19.325088000000001</v>
      </c>
      <c r="J52" s="2">
        <v>14.557535999999999</v>
      </c>
      <c r="K52" s="2">
        <v>5.3438400000000001</v>
      </c>
      <c r="L52" s="2">
        <v>9.2136959999999988</v>
      </c>
      <c r="M52" s="1">
        <v>9</v>
      </c>
      <c r="N52" s="1">
        <v>6</v>
      </c>
      <c r="O52" s="1">
        <v>14</v>
      </c>
      <c r="P52" s="1">
        <v>13</v>
      </c>
    </row>
    <row r="53" spans="1:16" x14ac:dyDescent="0.3">
      <c r="A53" s="1">
        <v>2023</v>
      </c>
      <c r="B53" s="1">
        <v>25790</v>
      </c>
      <c r="C53" s="1">
        <v>45024</v>
      </c>
      <c r="D53" s="1">
        <v>45078</v>
      </c>
      <c r="E53" s="1">
        <v>55</v>
      </c>
      <c r="F53" s="2">
        <v>74.831903999999952</v>
      </c>
      <c r="G53" s="2">
        <v>11.945664000000001</v>
      </c>
      <c r="H53" s="2">
        <v>11.092032000000001</v>
      </c>
      <c r="I53" s="2">
        <v>38.337408000000003</v>
      </c>
      <c r="J53" s="2">
        <v>13.456799999999998</v>
      </c>
      <c r="K53" s="2">
        <v>5.189184</v>
      </c>
      <c r="L53" s="2">
        <v>8.2676159999999985</v>
      </c>
      <c r="M53" s="1">
        <v>9</v>
      </c>
      <c r="N53" s="1">
        <v>5</v>
      </c>
      <c r="O53" s="1">
        <v>28</v>
      </c>
      <c r="P53" s="1">
        <v>13</v>
      </c>
    </row>
    <row r="54" spans="1:16" x14ac:dyDescent="0.3">
      <c r="A54" s="1">
        <v>2024</v>
      </c>
      <c r="B54" s="1">
        <v>26000</v>
      </c>
      <c r="C54" s="1">
        <v>45393</v>
      </c>
      <c r="D54" s="1">
        <v>45454</v>
      </c>
      <c r="E54" s="1">
        <v>62</v>
      </c>
      <c r="F54" s="2">
        <v>84.244319999999945</v>
      </c>
      <c r="G54" s="2">
        <v>14.122944</v>
      </c>
      <c r="H54" s="2">
        <v>13.44384</v>
      </c>
      <c r="I54" s="2">
        <v>42.158015999999996</v>
      </c>
      <c r="J54" s="2">
        <v>14.51952</v>
      </c>
      <c r="K54" s="2">
        <v>5.2030079999999996</v>
      </c>
      <c r="L54" s="2">
        <v>9.3165119999999995</v>
      </c>
      <c r="M54" s="1">
        <v>11</v>
      </c>
      <c r="N54" s="1">
        <v>6</v>
      </c>
      <c r="O54" s="1">
        <v>31</v>
      </c>
      <c r="P54" s="1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2"/>
  <sheetViews>
    <sheetView tabSelected="1" workbookViewId="0">
      <selection activeCell="B22" sqref="B2:B22"/>
    </sheetView>
  </sheetViews>
  <sheetFormatPr defaultRowHeight="14.4" x14ac:dyDescent="0.3"/>
  <cols>
    <col min="2" max="2" width="13.88671875" customWidth="1"/>
    <col min="3" max="3" width="14.88671875" customWidth="1"/>
  </cols>
  <sheetData>
    <row r="1" spans="1:5" ht="63" customHeight="1" x14ac:dyDescent="0.3">
      <c r="A1" s="3" t="s">
        <v>0</v>
      </c>
      <c r="B1" s="4" t="s">
        <v>24</v>
      </c>
      <c r="C1" s="4" t="s">
        <v>25</v>
      </c>
      <c r="E1">
        <v>1524.73</v>
      </c>
    </row>
    <row r="2" spans="1:5" x14ac:dyDescent="0.3">
      <c r="A2" s="1">
        <v>1976</v>
      </c>
      <c r="B2" s="5">
        <v>545.75638183359501</v>
      </c>
      <c r="C2" s="2">
        <f t="shared" ref="C2:C21" si="0">B2/$E$1*100</f>
        <v>35.793640961586313</v>
      </c>
    </row>
    <row r="3" spans="1:5" x14ac:dyDescent="0.3">
      <c r="A3" s="1">
        <v>1979</v>
      </c>
      <c r="B3" s="5">
        <v>1112.3859976838301</v>
      </c>
      <c r="C3" s="2">
        <f t="shared" si="0"/>
        <v>72.956260956617243</v>
      </c>
    </row>
    <row r="4" spans="1:5" x14ac:dyDescent="0.3">
      <c r="A4" s="1">
        <v>1981</v>
      </c>
      <c r="B4" s="5">
        <v>696.78409931284705</v>
      </c>
      <c r="C4" s="2">
        <f t="shared" si="0"/>
        <v>45.698851554888215</v>
      </c>
    </row>
    <row r="5" spans="1:5" x14ac:dyDescent="0.3">
      <c r="A5" s="1">
        <v>1984</v>
      </c>
      <c r="B5" s="5">
        <v>711.43358214930197</v>
      </c>
      <c r="C5" s="2">
        <f t="shared" si="0"/>
        <v>46.659643487653682</v>
      </c>
    </row>
    <row r="6" spans="1:5" x14ac:dyDescent="0.3">
      <c r="A6" s="1">
        <v>1985</v>
      </c>
      <c r="B6" s="5">
        <v>896.39395791229197</v>
      </c>
      <c r="C6" s="2">
        <f t="shared" si="0"/>
        <v>58.790340447967303</v>
      </c>
    </row>
    <row r="7" spans="1:5" x14ac:dyDescent="0.3">
      <c r="A7" s="1">
        <v>1988</v>
      </c>
      <c r="B7" s="5">
        <v>648.54112674435896</v>
      </c>
      <c r="C7" s="2">
        <f t="shared" si="0"/>
        <v>42.534817754248884</v>
      </c>
    </row>
    <row r="8" spans="1:5" x14ac:dyDescent="0.3">
      <c r="A8" s="1">
        <v>1990</v>
      </c>
      <c r="B8" s="5">
        <v>648.21480861632699</v>
      </c>
      <c r="C8" s="2">
        <f t="shared" si="0"/>
        <v>42.513416055060702</v>
      </c>
    </row>
    <row r="9" spans="1:5" x14ac:dyDescent="0.3">
      <c r="A9" s="1">
        <v>1994</v>
      </c>
      <c r="B9" s="5">
        <v>582.26722651365901</v>
      </c>
      <c r="C9" s="2">
        <f t="shared" si="0"/>
        <v>38.188218669119053</v>
      </c>
    </row>
    <row r="10" spans="1:5" x14ac:dyDescent="0.3">
      <c r="A10" s="1">
        <v>1995</v>
      </c>
      <c r="B10" s="5">
        <v>647.40401903641794</v>
      </c>
      <c r="C10" s="2">
        <f t="shared" si="0"/>
        <v>42.460240110473194</v>
      </c>
    </row>
    <row r="11" spans="1:5" x14ac:dyDescent="0.3">
      <c r="A11" s="1">
        <v>2000</v>
      </c>
      <c r="B11" s="5">
        <v>462.08818253972498</v>
      </c>
      <c r="C11" s="2">
        <f t="shared" si="0"/>
        <v>30.306230122036361</v>
      </c>
    </row>
    <row r="12" spans="1:5" x14ac:dyDescent="0.3">
      <c r="A12" s="1">
        <v>2001</v>
      </c>
      <c r="B12" s="5">
        <v>774.56988401687897</v>
      </c>
      <c r="C12" s="2">
        <f t="shared" si="0"/>
        <v>50.800461984540149</v>
      </c>
    </row>
    <row r="13" spans="1:5" x14ac:dyDescent="0.3">
      <c r="A13" s="1">
        <v>2003</v>
      </c>
      <c r="B13" s="5">
        <v>538.14203419572402</v>
      </c>
      <c r="C13" s="2">
        <f t="shared" si="0"/>
        <v>35.29425106056312</v>
      </c>
    </row>
    <row r="14" spans="1:5" x14ac:dyDescent="0.3">
      <c r="A14" s="1">
        <v>2004</v>
      </c>
      <c r="B14" s="5">
        <v>578.75296346894595</v>
      </c>
      <c r="C14" s="2">
        <f t="shared" si="0"/>
        <v>37.957734383723405</v>
      </c>
    </row>
    <row r="15" spans="1:5" x14ac:dyDescent="0.3">
      <c r="A15" s="1">
        <v>2005</v>
      </c>
      <c r="B15" s="5">
        <v>550.67788033358602</v>
      </c>
      <c r="C15" s="2">
        <f t="shared" si="0"/>
        <v>36.116419322344676</v>
      </c>
    </row>
    <row r="16" spans="1:5" x14ac:dyDescent="0.3">
      <c r="A16" s="1">
        <v>2009</v>
      </c>
      <c r="B16" s="5">
        <v>300.29117355604001</v>
      </c>
      <c r="C16" s="2">
        <f t="shared" si="0"/>
        <v>19.694711427993152</v>
      </c>
    </row>
    <row r="17" spans="1:3" x14ac:dyDescent="0.3">
      <c r="A17" s="1">
        <v>2013</v>
      </c>
      <c r="B17" s="5">
        <v>516.60577057877595</v>
      </c>
      <c r="C17" s="2">
        <f t="shared" si="0"/>
        <v>33.881786977286204</v>
      </c>
    </row>
    <row r="18" spans="1:3" x14ac:dyDescent="0.3">
      <c r="A18" s="1">
        <v>2014</v>
      </c>
      <c r="B18" s="5">
        <v>455.93452047612999</v>
      </c>
      <c r="C18" s="2">
        <f t="shared" si="0"/>
        <v>29.902639842865948</v>
      </c>
    </row>
    <row r="19" spans="1:3" x14ac:dyDescent="0.3">
      <c r="A19" s="1">
        <v>2015</v>
      </c>
      <c r="B19" s="5">
        <v>186.42218063850501</v>
      </c>
      <c r="C19" s="2">
        <f t="shared" si="0"/>
        <v>12.226569991966119</v>
      </c>
    </row>
    <row r="20" spans="1:3" x14ac:dyDescent="0.3">
      <c r="A20" s="1">
        <v>2016</v>
      </c>
      <c r="B20" s="5">
        <v>731.867527010358</v>
      </c>
      <c r="C20" s="2">
        <f t="shared" si="0"/>
        <v>47.999811573875903</v>
      </c>
    </row>
    <row r="21" spans="1:3" x14ac:dyDescent="0.3">
      <c r="A21" s="1">
        <v>2020</v>
      </c>
      <c r="B21" s="5">
        <v>414.1</v>
      </c>
      <c r="C21" s="2">
        <f t="shared" si="0"/>
        <v>27.158906822847324</v>
      </c>
    </row>
    <row r="22" spans="1:3" x14ac:dyDescent="0.3">
      <c r="A22" s="1">
        <v>2021</v>
      </c>
      <c r="B22" s="2">
        <v>535.754783545088</v>
      </c>
      <c r="C22" s="2">
        <f>B22/$E$1*100</f>
        <v>35.137682313923648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данные по расходам</vt:lpstr>
      <vt:lpstr>площади затопления</vt:lpstr>
      <vt:lpstr>Лист3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Windows 10</cp:lastModifiedBy>
  <dcterms:created xsi:type="dcterms:W3CDTF">2025-09-16T19:53:17Z</dcterms:created>
  <dcterms:modified xsi:type="dcterms:W3CDTF">2025-09-18T16:56:59Z</dcterms:modified>
</cp:coreProperties>
</file>